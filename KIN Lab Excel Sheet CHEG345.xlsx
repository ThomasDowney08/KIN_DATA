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506e7d64f8f890/Documents/"/>
    </mc:Choice>
  </mc:AlternateContent>
  <xr:revisionPtr revIDLastSave="516" documentId="8_{F6D24731-375E-40D4-ADF5-5E29D2D8B3EE}" xr6:coauthVersionLast="47" xr6:coauthVersionMax="47" xr10:uidLastSave="{5EEEDE56-0777-431A-AFD6-869F7F82C526}"/>
  <bookViews>
    <workbookView xWindow="-110" yWindow="-110" windowWidth="19420" windowHeight="11500" xr2:uid="{20E55358-8892-49CC-AB68-FBE8A5715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2" i="1" l="1"/>
  <c r="H52" i="1"/>
  <c r="H46" i="1" a="1"/>
  <c r="H46" i="1" s="1"/>
  <c r="M30" i="1"/>
  <c r="N31" i="1"/>
  <c r="N32" i="1"/>
  <c r="N30" i="1"/>
  <c r="M32" i="1"/>
  <c r="M31" i="1"/>
  <c r="I42" i="1"/>
  <c r="I43" i="1"/>
  <c r="H38" i="1" a="1"/>
  <c r="H38" i="1" s="1"/>
  <c r="I32" i="1" a="1"/>
  <c r="I32" i="1" s="1"/>
  <c r="F25" i="1"/>
  <c r="F26" i="1"/>
  <c r="F24" i="1"/>
  <c r="H34" i="1"/>
  <c r="I3" i="1"/>
  <c r="I4" i="1"/>
  <c r="I5" i="1"/>
  <c r="I2" i="1"/>
  <c r="F30" i="1"/>
  <c r="F31" i="1"/>
  <c r="F29" i="1"/>
  <c r="G30" i="1"/>
  <c r="I30" i="1" s="1" a="1"/>
  <c r="I30" i="1" s="1"/>
  <c r="G31" i="1"/>
  <c r="G29" i="1"/>
  <c r="G25" i="1"/>
  <c r="G26" i="1"/>
  <c r="I31" i="1" s="1" a="1"/>
  <c r="I31" i="1" s="1"/>
  <c r="G24" i="1"/>
  <c r="G20" i="1"/>
  <c r="G21" i="1"/>
  <c r="G19" i="1"/>
  <c r="F20" i="1"/>
  <c r="F21" i="1"/>
  <c r="F19" i="1"/>
  <c r="H35" i="1"/>
  <c r="H36" i="1"/>
  <c r="F5" i="1"/>
  <c r="F4" i="1"/>
  <c r="F3" i="1"/>
  <c r="F2" i="1"/>
  <c r="D6" i="1"/>
  <c r="G3" i="1" s="1"/>
  <c r="G35" i="1" l="1"/>
  <c r="I35" i="1" s="1"/>
  <c r="G36" i="1"/>
  <c r="I36" i="1" s="1"/>
  <c r="G34" i="1"/>
  <c r="I34" i="1" s="1"/>
  <c r="G2" i="1"/>
  <c r="G5" i="1"/>
  <c r="G4" i="1"/>
  <c r="B5" i="1" l="1"/>
  <c r="I6" i="1"/>
  <c r="J2" i="1" s="1"/>
  <c r="J3" i="1" l="1"/>
  <c r="J4" i="1"/>
  <c r="J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<sst xmlns="http://schemas.openxmlformats.org/spreadsheetml/2006/main" count="120" uniqueCount="73">
  <si>
    <t>Reagent</t>
  </si>
  <si>
    <t>Desired Concentration (M)</t>
  </si>
  <si>
    <t>Stock Soln Conc (M)</t>
  </si>
  <si>
    <t>Volume (mL)</t>
  </si>
  <si>
    <t>Density (g/mL)</t>
  </si>
  <si>
    <t>Mass to weigh in lab (g)</t>
  </si>
  <si>
    <t>Actual mass (g)</t>
  </si>
  <si>
    <t>Actual Volume (mL)</t>
  </si>
  <si>
    <t>Actual Conc (M)</t>
  </si>
  <si>
    <t>HCl</t>
  </si>
  <si>
    <t>Iodine (I-)</t>
  </si>
  <si>
    <t>Acetone</t>
  </si>
  <si>
    <t>DI Water</t>
  </si>
  <si>
    <t>Total Vol (mL)</t>
  </si>
  <si>
    <t>Total (mL)</t>
  </si>
  <si>
    <t>Calculated Conc (M)</t>
  </si>
  <si>
    <t>Trial</t>
  </si>
  <si>
    <t>Desired Conc HCl</t>
  </si>
  <si>
    <t>Desired Conc I-</t>
  </si>
  <si>
    <t>Desired Conc Acetone</t>
  </si>
  <si>
    <t>Desired Mass HCl</t>
  </si>
  <si>
    <t>Desired Mass Acetone</t>
  </si>
  <si>
    <t>Desired DI Water</t>
  </si>
  <si>
    <t>Desired Mass I-</t>
  </si>
  <si>
    <t>All masses in grams</t>
  </si>
  <si>
    <t>All Concentrations in M</t>
  </si>
  <si>
    <t>1 (Std.)</t>
  </si>
  <si>
    <t>[HCl] (M)</t>
  </si>
  <si>
    <t>[I-] (M)</t>
  </si>
  <si>
    <t>[Acetone] (M)</t>
  </si>
  <si>
    <t>rate</t>
  </si>
  <si>
    <t>ln([HCl])</t>
  </si>
  <si>
    <t>ln(rate)</t>
  </si>
  <si>
    <t>ln([Acetone])</t>
  </si>
  <si>
    <t>ln([Iodine])</t>
  </si>
  <si>
    <t>T (K)</t>
  </si>
  <si>
    <t>Rate</t>
  </si>
  <si>
    <t>k</t>
  </si>
  <si>
    <t>1/T</t>
  </si>
  <si>
    <t>ln(k)</t>
  </si>
  <si>
    <t>Iodine</t>
  </si>
  <si>
    <t>Components</t>
  </si>
  <si>
    <t>[I-] (M) const.</t>
  </si>
  <si>
    <t>[Acetone] (M) const.</t>
  </si>
  <si>
    <t>[HCl] (M) const.</t>
  </si>
  <si>
    <t>actual</t>
  </si>
  <si>
    <t xml:space="preserve">Conc. (M) </t>
  </si>
  <si>
    <t>Conc. (M)</t>
  </si>
  <si>
    <t>left rxr</t>
  </si>
  <si>
    <t>right rxr</t>
  </si>
  <si>
    <t xml:space="preserve"> Mass Acetone</t>
  </si>
  <si>
    <t xml:space="preserve"> Mass I-</t>
  </si>
  <si>
    <t xml:space="preserve"> Mass HCl</t>
  </si>
  <si>
    <t xml:space="preserve"> DI Water</t>
  </si>
  <si>
    <t>*STD FOR 35C</t>
  </si>
  <si>
    <t>*STD for 40C</t>
  </si>
  <si>
    <t>1:33PM</t>
  </si>
  <si>
    <t>b</t>
  </si>
  <si>
    <t>m</t>
  </si>
  <si>
    <t>Arremhius Factor</t>
  </si>
  <si>
    <t>Activation E</t>
  </si>
  <si>
    <t>kj/mol</t>
  </si>
  <si>
    <t>95% Conf. Int.</t>
  </si>
  <si>
    <t>Std. Error of Slope</t>
  </si>
  <si>
    <t>Interval</t>
  </si>
  <si>
    <t>[.300, 1.67]</t>
  </si>
  <si>
    <t>[-.113,  1.88]</t>
  </si>
  <si>
    <t>[-.0880, .199]</t>
  </si>
  <si>
    <t>Reactant</t>
  </si>
  <si>
    <t>SEm</t>
  </si>
  <si>
    <t>R^2</t>
  </si>
  <si>
    <t>SEb</t>
  </si>
  <si>
    <t>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</si>
</sst>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"/>
    <numFmt numFmtId="167" formatCode="0.0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2" fontId="1" fillId="0" borderId="0" xfId="0" applyNumberFormat="1" applyFont="1"/>
    <xf numFmtId="0" fontId="0" fillId="2" borderId="0" xfId="0" applyFill="1"/>
    <xf numFmtId="166" fontId="1" fillId="0" borderId="0" xfId="0" applyNumberFormat="1" applyFont="1"/>
    <xf numFmtId="167" fontId="1" fillId="0" borderId="0" xfId="0" applyNumberFormat="1" applyFont="1"/>
    <xf numFmtId="0" fontId="2" fillId="0" borderId="0" xfId="0" applyFont="1"/>
    <xf numFmtId="0" fontId="3" fillId="3" borderId="0" xfId="0" applyFont="1" applyFill="1"/>
    <xf numFmtId="0" fontId="0" fillId="4" borderId="0" xfId="0" applyFill="1"/>
    <xf numFmtId="21" fontId="0" fillId="0" borderId="0" xfId="0" applyNumberFormat="1"/>
    <xf numFmtId="20" fontId="0" fillId="0" borderId="0" xfId="0" applyNumberFormat="1"/>
    <xf numFmtId="0" fontId="0" fillId="0" borderId="1" xfId="0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11" fontId="4" fillId="0" borderId="1" xfId="0" applyNumberFormat="1" applyFont="1" applyBorder="1" applyAlignment="1">
      <alignment horizontal="right" wrapText="1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Sheet1!$H$34:$H$36</c:f>
              <c:numCache>
                <c:formatCode>General</c:formatCode>
                <c:ptCount val="3"/>
                <c:pt idx="0">
                  <c:v>3.3003300330033004E-3</c:v>
                </c:pt>
                <c:pt idx="1">
                  <c:v>3.246753246753247E-3</c:v>
                </c:pt>
                <c:pt idx="2">
                  <c:v>3.1948881789137379E-3</c:v>
                </c:pt>
              </c:numCache>
            </c:numRef>
          </c:xVal>
          <c:yVal>
            <c:numRef>
              <c:f>Sheet1!$I$34:$I$36</c:f>
              <c:numCache>
                <c:formatCode>General</c:formatCode>
                <c:ptCount val="3"/>
                <c:pt idx="0">
                  <c:v>-9.1318565528667346</c:v>
                </c:pt>
                <c:pt idx="1">
                  <c:v>-8.765629550402231</c:v>
                </c:pt>
                <c:pt idx="2">
                  <c:v>-8.3194963057631917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94-453D-8E19-13E37E180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6070111"/>
        <c:axId val="1302006400"/>
      </c:scatterChart>
      <c:valAx>
        <c:axId val="201607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1/T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006400"/>
        <c:crosses val="autoZero"/>
        <c:crossBetween val="midCat"/>
      </c:valAx>
      <c:valAx>
        <c:axId val="1302006400"/>
        <c:scaling>
          <c:orientation val="minMax"/>
          <c:max val="-8.1999999999999993"/>
          <c:min val="-9.199999999999999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ln(k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070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839611</xdr:colOff>
      <xdr:row>37</xdr:row>
      <xdr:rowOff>141818</xdr:rowOff>
    </xdr:from>
    <xdr:to>
      <xdr:col>5</xdr:col>
      <xdr:colOff>275167</xdr:colOff>
      <xdr:row>52</xdr:row>
      <xdr:rowOff>133351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9FC3AD-2CFA-38E4-4796-313EEC0CF9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62CD06-53C6-497B-B77A-C16B14411C72}" name="Table2" displayName="Table2" ref="L29:O32" totalsRowShown="0">
  <autoFilter ref="L29:O32" xr:uid="{BB62CD06-53C6-497B-B77A-C16B14411C72}"/>
  <tableColumns count="4">
    <tableColumn id="1" xr3:uid="{F26E1DB7-18B9-49E3-A4CA-E3C2F84E0073}" name="Reactant"/>
    <tableColumn id="2" xr3:uid="{66F71D98-C761-46F9-A20D-5918D3F028B6}" name="Std. Error of Slope"/>
    <tableColumn id="3" xr3:uid="{91178B50-6757-4609-9A95-E9E2F44E39BC}" name="95% Conf. Int.">
      <calculatedColumnFormula>_xlfn.T.INV.2T(0.05,3)*M30</calculatedColumnFormula>
    </tableColumn>
    <tableColumn id="4" xr3:uid="{F40D7C05-2CFA-465A-93A5-42C6B66C107D}" name="Interval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842E7-23EC-420A-AA88-FC1278344F45}">
  <dimension ref="A1:T52"/>
  <sheetViews>
    <sheetView tabSelected="1" topLeftCell="B30" zoomScale="90" zoomScaleNormal="90" workbookViewId="0">
      <selection activeCell="K43" sqref="K43"/>
    </sheetView>
  </sheetViews>
  <sheetFormatPr defaultRowHeight="14.5" x14ac:dyDescent="0.35"/>
  <cols>
    <col min="2" max="2" width="22.453125" customWidth="1"/>
    <col min="3" max="3" width="17.1796875" customWidth="1"/>
    <col min="4" max="4" width="18.54296875" customWidth="1"/>
    <col min="5" max="5" width="15.36328125" customWidth="1"/>
    <col min="6" max="6" width="19.453125" customWidth="1"/>
    <col min="7" max="7" width="19.36328125" customWidth="1"/>
    <col min="8" max="8" width="14.453125" customWidth="1"/>
    <col min="9" max="9" width="14" customWidth="1"/>
    <col min="10" max="10" width="17" customWidth="1"/>
    <col min="11" max="11" width="14.08984375" customWidth="1"/>
    <col min="12" max="12" width="15.08984375" customWidth="1"/>
    <col min="13" max="13" width="20.453125" customWidth="1"/>
    <col min="14" max="14" width="16.26953125" customWidth="1"/>
    <col min="15" max="15" width="20.26953125" customWidth="1"/>
    <col min="16" max="16" width="21" customWidth="1"/>
    <col min="17" max="17" width="15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8</v>
      </c>
    </row>
    <row r="2" spans="1:20" x14ac:dyDescent="0.35">
      <c r="A2" s="1" t="s">
        <v>9</v>
      </c>
      <c r="B2" s="1">
        <v>0.04</v>
      </c>
      <c r="C2" s="1">
        <v>1</v>
      </c>
      <c r="D2" s="1">
        <v>13</v>
      </c>
      <c r="E2" s="1">
        <v>1</v>
      </c>
      <c r="F2" s="1">
        <f>D2*E2</f>
        <v>13</v>
      </c>
      <c r="G2" s="3">
        <f>D2*C2/$D$6</f>
        <v>0.02</v>
      </c>
      <c r="H2" s="1">
        <v>13</v>
      </c>
      <c r="I2" s="1">
        <f t="shared" ref="I2:I5" si="0">H2/E2</f>
        <v>13</v>
      </c>
      <c r="J2" s="2">
        <f>I2*C2/$I$6</f>
        <v>1.9993805229966719E-2</v>
      </c>
    </row>
    <row r="3" spans="1:20" x14ac:dyDescent="0.35">
      <c r="A3" s="1" t="s">
        <v>10</v>
      </c>
      <c r="B3" s="1">
        <v>2E-3</v>
      </c>
      <c r="C3" s="1">
        <v>0.1</v>
      </c>
      <c r="D3" s="1">
        <v>7</v>
      </c>
      <c r="E3" s="1">
        <v>1</v>
      </c>
      <c r="F3" s="1">
        <f>D3*E3</f>
        <v>7</v>
      </c>
      <c r="G3" s="2">
        <f>D3*C3/$D$6</f>
        <v>1.0769230769230771E-3</v>
      </c>
      <c r="H3" s="1">
        <v>26.09</v>
      </c>
      <c r="I3" s="1">
        <f>H3/E3</f>
        <v>26.09</v>
      </c>
      <c r="J3" s="6">
        <f>I3*C3/$I$6</f>
        <v>4.0126029111525515E-3</v>
      </c>
    </row>
    <row r="4" spans="1:20" x14ac:dyDescent="0.35">
      <c r="A4" s="1" t="s">
        <v>11</v>
      </c>
      <c r="B4" s="1">
        <v>2</v>
      </c>
      <c r="C4" s="1">
        <v>13.6</v>
      </c>
      <c r="D4" s="1">
        <v>95</v>
      </c>
      <c r="E4" s="1">
        <v>0.79</v>
      </c>
      <c r="F4" s="1">
        <f>D4*E4</f>
        <v>75.05</v>
      </c>
      <c r="G4" s="3">
        <f t="shared" ref="G4:G5" si="1">D4*C4/$D$6</f>
        <v>1.9876923076923076</v>
      </c>
      <c r="H4" s="1">
        <v>74.98</v>
      </c>
      <c r="I4" s="1">
        <f>H4/E4</f>
        <v>94.911392405063296</v>
      </c>
      <c r="J4" s="4">
        <f t="shared" ref="J4:J5" si="2">I4*C4/$I$6</f>
        <v>1.985223273568014</v>
      </c>
    </row>
    <row r="5" spans="1:20" x14ac:dyDescent="0.35">
      <c r="A5" s="1" t="s">
        <v>12</v>
      </c>
      <c r="B5" s="1">
        <f>G5</f>
        <v>45.697230769230771</v>
      </c>
      <c r="C5" s="1">
        <v>55.52</v>
      </c>
      <c r="D5" s="1">
        <v>535</v>
      </c>
      <c r="E5" s="1">
        <v>1</v>
      </c>
      <c r="F5" s="1">
        <f>D5*E5</f>
        <v>535</v>
      </c>
      <c r="G5" s="1">
        <f t="shared" si="1"/>
        <v>45.697230769230771</v>
      </c>
      <c r="H5" s="1">
        <v>516.20000000000005</v>
      </c>
      <c r="I5" s="1">
        <f t="shared" si="0"/>
        <v>516.20000000000005</v>
      </c>
      <c r="J5" s="7">
        <f t="shared" si="2"/>
        <v>44.077764727617982</v>
      </c>
    </row>
    <row r="6" spans="1:20" x14ac:dyDescent="0.35">
      <c r="C6" t="s">
        <v>13</v>
      </c>
      <c r="D6">
        <f>SUM(D2:D5)</f>
        <v>650</v>
      </c>
      <c r="H6" t="s">
        <v>14</v>
      </c>
      <c r="I6">
        <f>SUM(I2:I5)</f>
        <v>650.20139240506342</v>
      </c>
      <c r="K6" s="9" t="s">
        <v>48</v>
      </c>
      <c r="L6">
        <v>30</v>
      </c>
    </row>
    <row r="7" spans="1:20" x14ac:dyDescent="0.35">
      <c r="K7" t="s">
        <v>45</v>
      </c>
    </row>
    <row r="8" spans="1:20" x14ac:dyDescent="0.35">
      <c r="B8" t="s">
        <v>25</v>
      </c>
      <c r="E8" t="s">
        <v>24</v>
      </c>
      <c r="K8" t="s">
        <v>25</v>
      </c>
      <c r="N8" t="s">
        <v>24</v>
      </c>
    </row>
    <row r="9" spans="1:20" x14ac:dyDescent="0.35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23</v>
      </c>
      <c r="G9" t="s">
        <v>21</v>
      </c>
      <c r="H9" t="s">
        <v>22</v>
      </c>
      <c r="J9" t="s">
        <v>16</v>
      </c>
      <c r="K9" t="s">
        <v>17</v>
      </c>
      <c r="L9" t="s">
        <v>18</v>
      </c>
      <c r="M9" t="s">
        <v>19</v>
      </c>
      <c r="N9" t="s">
        <v>52</v>
      </c>
      <c r="O9" t="s">
        <v>51</v>
      </c>
      <c r="P9" t="s">
        <v>50</v>
      </c>
      <c r="Q9" t="s">
        <v>53</v>
      </c>
      <c r="R9" t="s">
        <v>46</v>
      </c>
      <c r="S9" t="s">
        <v>46</v>
      </c>
      <c r="T9" t="s">
        <v>46</v>
      </c>
    </row>
    <row r="10" spans="1:20" x14ac:dyDescent="0.35">
      <c r="A10" t="s">
        <v>26</v>
      </c>
      <c r="B10">
        <v>0.02</v>
      </c>
      <c r="C10">
        <v>2E-3</v>
      </c>
      <c r="D10">
        <v>2</v>
      </c>
      <c r="E10">
        <v>13</v>
      </c>
      <c r="F10">
        <v>13</v>
      </c>
      <c r="G10">
        <v>75.05</v>
      </c>
      <c r="H10">
        <v>528</v>
      </c>
      <c r="I10" t="s">
        <v>56</v>
      </c>
      <c r="J10" t="s">
        <v>26</v>
      </c>
      <c r="N10">
        <v>13.1</v>
      </c>
      <c r="O10">
        <v>13.05</v>
      </c>
      <c r="P10">
        <v>75.06</v>
      </c>
      <c r="Q10">
        <v>528.79999999999995</v>
      </c>
      <c r="R10">
        <v>2.0199999999999999E-2</v>
      </c>
      <c r="S10">
        <v>1.97E-3</v>
      </c>
      <c r="T10">
        <v>1.99</v>
      </c>
    </row>
    <row r="11" spans="1:20" x14ac:dyDescent="0.35">
      <c r="A11">
        <v>2</v>
      </c>
      <c r="B11" s="5">
        <v>0.04</v>
      </c>
      <c r="C11">
        <v>2E-3</v>
      </c>
      <c r="D11">
        <v>2</v>
      </c>
      <c r="E11" s="8">
        <v>26</v>
      </c>
      <c r="F11">
        <v>13</v>
      </c>
      <c r="G11">
        <v>75.05</v>
      </c>
      <c r="H11" s="8">
        <v>508</v>
      </c>
      <c r="I11" s="11">
        <v>7.8819444444444442E-2</v>
      </c>
      <c r="J11">
        <v>2</v>
      </c>
      <c r="K11" s="5"/>
      <c r="N11">
        <v>26.22</v>
      </c>
      <c r="O11">
        <v>13.05</v>
      </c>
      <c r="P11">
        <v>75.069999999999993</v>
      </c>
      <c r="Q11">
        <v>508.8</v>
      </c>
    </row>
    <row r="12" spans="1:20" x14ac:dyDescent="0.35">
      <c r="A12">
        <v>3</v>
      </c>
      <c r="B12" s="5">
        <v>0.01</v>
      </c>
      <c r="C12">
        <v>2E-3</v>
      </c>
      <c r="D12">
        <v>2</v>
      </c>
      <c r="E12">
        <v>7</v>
      </c>
      <c r="F12">
        <v>13</v>
      </c>
      <c r="G12">
        <v>75.05</v>
      </c>
      <c r="H12">
        <v>535</v>
      </c>
      <c r="I12" s="11">
        <v>9.8090277777777776E-2</v>
      </c>
      <c r="J12">
        <v>3</v>
      </c>
      <c r="K12" s="5"/>
      <c r="N12">
        <v>7.1</v>
      </c>
      <c r="O12">
        <v>13.07</v>
      </c>
      <c r="P12">
        <v>75.06</v>
      </c>
      <c r="Q12">
        <v>535.5</v>
      </c>
    </row>
    <row r="13" spans="1:20" x14ac:dyDescent="0.35">
      <c r="A13">
        <v>4</v>
      </c>
      <c r="B13">
        <v>0.02</v>
      </c>
      <c r="C13" s="5">
        <v>1E-3</v>
      </c>
      <c r="D13">
        <v>2</v>
      </c>
      <c r="E13">
        <v>13</v>
      </c>
      <c r="F13">
        <v>7</v>
      </c>
      <c r="G13">
        <v>75.05</v>
      </c>
      <c r="H13">
        <v>535</v>
      </c>
      <c r="I13" s="11">
        <v>0.11701388888888889</v>
      </c>
      <c r="J13">
        <v>4</v>
      </c>
      <c r="L13" s="5"/>
      <c r="N13">
        <v>13.06</v>
      </c>
      <c r="O13">
        <v>7.1</v>
      </c>
      <c r="P13">
        <v>75.14</v>
      </c>
      <c r="Q13">
        <v>535.5</v>
      </c>
    </row>
    <row r="14" spans="1:20" x14ac:dyDescent="0.35">
      <c r="A14">
        <v>5</v>
      </c>
      <c r="B14">
        <v>0.02</v>
      </c>
      <c r="C14" s="5">
        <v>4.0000000000000001E-3</v>
      </c>
      <c r="D14">
        <v>2</v>
      </c>
      <c r="E14">
        <v>13</v>
      </c>
      <c r="F14">
        <v>26</v>
      </c>
      <c r="G14">
        <v>75.05</v>
      </c>
      <c r="H14">
        <v>516</v>
      </c>
      <c r="I14" s="11">
        <v>0.11846064814814815</v>
      </c>
      <c r="J14">
        <v>5</v>
      </c>
      <c r="L14" s="5"/>
      <c r="N14">
        <v>13</v>
      </c>
      <c r="O14">
        <v>26.09</v>
      </c>
      <c r="P14">
        <v>74.98</v>
      </c>
      <c r="Q14">
        <v>516.20000000000005</v>
      </c>
    </row>
    <row r="15" spans="1:20" x14ac:dyDescent="0.35">
      <c r="A15">
        <v>6</v>
      </c>
      <c r="B15">
        <v>0.02</v>
      </c>
      <c r="C15">
        <v>2E-3</v>
      </c>
      <c r="D15" s="5">
        <v>4</v>
      </c>
      <c r="E15">
        <v>13</v>
      </c>
      <c r="F15">
        <v>13</v>
      </c>
      <c r="G15">
        <v>150.1</v>
      </c>
      <c r="H15">
        <v>434</v>
      </c>
      <c r="I15" s="12">
        <v>0.12777777777777777</v>
      </c>
      <c r="J15">
        <v>6</v>
      </c>
      <c r="M15" s="5"/>
      <c r="N15">
        <v>12.99</v>
      </c>
      <c r="O15">
        <v>13.04</v>
      </c>
      <c r="P15">
        <v>150.07</v>
      </c>
      <c r="Q15">
        <v>435.1</v>
      </c>
    </row>
    <row r="16" spans="1:20" x14ac:dyDescent="0.35">
      <c r="A16">
        <v>7</v>
      </c>
      <c r="B16">
        <v>0.02</v>
      </c>
      <c r="C16">
        <v>2E-3</v>
      </c>
      <c r="D16" s="5">
        <v>1</v>
      </c>
      <c r="E16">
        <v>13</v>
      </c>
      <c r="F16">
        <v>13</v>
      </c>
      <c r="G16">
        <v>37.1</v>
      </c>
      <c r="H16">
        <v>577</v>
      </c>
      <c r="I16" s="11">
        <v>0.1310763888888889</v>
      </c>
      <c r="J16">
        <v>7</v>
      </c>
      <c r="M16" s="5"/>
      <c r="N16">
        <v>12.99</v>
      </c>
      <c r="O16">
        <v>13.05</v>
      </c>
      <c r="P16">
        <v>37.17</v>
      </c>
      <c r="Q16">
        <v>577</v>
      </c>
    </row>
    <row r="18" spans="1:20" ht="15" thickBot="1" x14ac:dyDescent="0.4">
      <c r="A18" t="s">
        <v>16</v>
      </c>
      <c r="B18" t="s">
        <v>27</v>
      </c>
      <c r="C18" t="s">
        <v>42</v>
      </c>
      <c r="D18" t="s">
        <v>43</v>
      </c>
      <c r="E18" t="s">
        <v>30</v>
      </c>
      <c r="F18" t="s">
        <v>31</v>
      </c>
      <c r="G18" t="s">
        <v>32</v>
      </c>
      <c r="K18" s="9" t="s">
        <v>49</v>
      </c>
      <c r="L18">
        <v>40</v>
      </c>
    </row>
    <row r="19" spans="1:20" ht="15" thickBot="1" x14ac:dyDescent="0.4">
      <c r="A19">
        <v>1</v>
      </c>
      <c r="B19" s="13">
        <v>2.0199999999999999E-2</v>
      </c>
      <c r="C19" s="13">
        <v>2.0100000000000001E-3</v>
      </c>
      <c r="D19" s="13">
        <v>1.99</v>
      </c>
      <c r="E19" s="14">
        <v>4.4379999999999997E-6</v>
      </c>
      <c r="F19">
        <f>LN(B19)</f>
        <v>-3.9020726745749781</v>
      </c>
      <c r="G19">
        <f>LN(E19)</f>
        <v>-12.325306733453871</v>
      </c>
      <c r="K19" t="s">
        <v>45</v>
      </c>
    </row>
    <row r="20" spans="1:20" ht="15" thickBot="1" x14ac:dyDescent="0.4">
      <c r="A20">
        <v>2</v>
      </c>
      <c r="B20" s="14">
        <v>4.0582247430000003E-2</v>
      </c>
      <c r="C20" s="14">
        <v>2.019825816E-3</v>
      </c>
      <c r="D20" s="13">
        <v>2.000237845</v>
      </c>
      <c r="E20" s="14">
        <v>5.7420000000000003E-6</v>
      </c>
      <c r="F20">
        <f>LN(B20)</f>
        <v>-3.2044245634171955</v>
      </c>
      <c r="G20">
        <f t="shared" ref="G20:G21" si="3">LN(E20)</f>
        <v>-12.067702976265402</v>
      </c>
      <c r="K20" t="s">
        <v>25</v>
      </c>
      <c r="N20" t="s">
        <v>24</v>
      </c>
    </row>
    <row r="21" spans="1:20" ht="15" thickBot="1" x14ac:dyDescent="0.4">
      <c r="A21">
        <v>3</v>
      </c>
      <c r="B21" s="14">
        <v>1.0600453609999999E-2</v>
      </c>
      <c r="C21" s="14">
        <v>1.951379278E-3</v>
      </c>
      <c r="D21" s="13">
        <v>1.9292409800000001</v>
      </c>
      <c r="E21" s="14">
        <v>1.733E-6</v>
      </c>
      <c r="F21">
        <f t="shared" ref="F21" si="4">LN(B21)</f>
        <v>-4.5468584853835008</v>
      </c>
      <c r="G21">
        <f t="shared" si="3"/>
        <v>-13.265656547230805</v>
      </c>
      <c r="J21" t="s">
        <v>16</v>
      </c>
      <c r="K21" t="s">
        <v>17</v>
      </c>
      <c r="L21" t="s">
        <v>18</v>
      </c>
      <c r="M21" t="s">
        <v>19</v>
      </c>
      <c r="N21" t="s">
        <v>52</v>
      </c>
      <c r="O21" t="s">
        <v>51</v>
      </c>
      <c r="P21" t="s">
        <v>50</v>
      </c>
      <c r="Q21" t="s">
        <v>53</v>
      </c>
      <c r="R21" t="s">
        <v>47</v>
      </c>
      <c r="S21" t="s">
        <v>47</v>
      </c>
      <c r="T21" t="s">
        <v>47</v>
      </c>
    </row>
    <row r="22" spans="1:20" x14ac:dyDescent="0.35">
      <c r="J22" t="s">
        <v>26</v>
      </c>
      <c r="N22">
        <v>13.01</v>
      </c>
      <c r="O22">
        <v>13.05</v>
      </c>
      <c r="P22">
        <v>75.040000000000006</v>
      </c>
      <c r="Q22">
        <v>527.20000000000005</v>
      </c>
      <c r="R22" t="s">
        <v>55</v>
      </c>
    </row>
    <row r="23" spans="1:20" x14ac:dyDescent="0.35">
      <c r="A23" t="s">
        <v>16</v>
      </c>
      <c r="B23" t="s">
        <v>44</v>
      </c>
      <c r="C23" t="s">
        <v>28</v>
      </c>
      <c r="D23" t="s">
        <v>43</v>
      </c>
      <c r="E23" t="s">
        <v>30</v>
      </c>
      <c r="F23" t="s">
        <v>34</v>
      </c>
      <c r="G23" t="s">
        <v>32</v>
      </c>
      <c r="J23">
        <v>2</v>
      </c>
      <c r="K23" s="5"/>
      <c r="N23" s="10">
        <v>12.98</v>
      </c>
      <c r="O23" s="10">
        <v>13.02</v>
      </c>
      <c r="P23" s="10">
        <v>74.92</v>
      </c>
      <c r="Q23" s="10">
        <v>528</v>
      </c>
      <c r="R23" s="10" t="s">
        <v>54</v>
      </c>
    </row>
    <row r="24" spans="1:20" x14ac:dyDescent="0.35">
      <c r="A24">
        <v>1</v>
      </c>
      <c r="B24">
        <v>2.0199999999999999E-2</v>
      </c>
      <c r="C24">
        <v>2.0100000000000001E-3</v>
      </c>
      <c r="D24">
        <v>1.99</v>
      </c>
      <c r="E24">
        <v>4.3479999999999997E-6</v>
      </c>
      <c r="F24">
        <f>LN(C24)</f>
        <v>-6.2096205569111529</v>
      </c>
      <c r="G24">
        <f>LN(E24)</f>
        <v>-12.345794588705312</v>
      </c>
      <c r="I24" t="s">
        <v>41</v>
      </c>
    </row>
    <row r="25" spans="1:20" x14ac:dyDescent="0.35">
      <c r="A25">
        <v>2</v>
      </c>
      <c r="B25">
        <v>2.01E-2</v>
      </c>
      <c r="C25">
        <v>1.09E-3</v>
      </c>
      <c r="D25">
        <v>1.99</v>
      </c>
      <c r="E25">
        <v>3.9910000000000004E-6</v>
      </c>
      <c r="F25">
        <f t="shared" ref="F25:F26" si="5">LN(C25)</f>
        <v>-6.8215775827410843</v>
      </c>
      <c r="G25">
        <f t="shared" ref="G25:G26" si="6">LN(E25)</f>
        <v>-12.431468731897677</v>
      </c>
      <c r="I25" t="s">
        <v>9</v>
      </c>
      <c r="J25">
        <v>1</v>
      </c>
    </row>
    <row r="26" spans="1:20" x14ac:dyDescent="0.35">
      <c r="A26">
        <v>3</v>
      </c>
      <c r="B26">
        <v>0.02</v>
      </c>
      <c r="C26">
        <v>4.0099999999999997E-3</v>
      </c>
      <c r="D26">
        <v>1.99</v>
      </c>
      <c r="E26">
        <v>4.2980000000000002E-6</v>
      </c>
      <c r="F26">
        <f t="shared" si="5"/>
        <v>-5.5189640376636593</v>
      </c>
      <c r="G26">
        <f t="shared" si="6"/>
        <v>-12.357360759743955</v>
      </c>
      <c r="I26" t="s">
        <v>40</v>
      </c>
      <c r="J26">
        <v>0</v>
      </c>
    </row>
    <row r="27" spans="1:20" x14ac:dyDescent="0.35">
      <c r="I27" t="s">
        <v>11</v>
      </c>
      <c r="J27">
        <v>1</v>
      </c>
    </row>
    <row r="28" spans="1:20" x14ac:dyDescent="0.35">
      <c r="A28" t="s">
        <v>16</v>
      </c>
      <c r="B28" t="s">
        <v>44</v>
      </c>
      <c r="C28" t="s">
        <v>42</v>
      </c>
      <c r="D28" t="s">
        <v>29</v>
      </c>
      <c r="E28" t="s">
        <v>30</v>
      </c>
      <c r="F28" t="s">
        <v>33</v>
      </c>
      <c r="G28" t="s">
        <v>32</v>
      </c>
    </row>
    <row r="29" spans="1:20" x14ac:dyDescent="0.35">
      <c r="A29">
        <v>1</v>
      </c>
      <c r="B29">
        <v>2.0199999999999999E-2</v>
      </c>
      <c r="C29">
        <v>2.0100000000000001E-3</v>
      </c>
      <c r="D29">
        <v>1.99</v>
      </c>
      <c r="E29">
        <v>4.3479999999999997E-6</v>
      </c>
      <c r="F29">
        <f>LN(D29)</f>
        <v>0.68813463873640102</v>
      </c>
      <c r="G29">
        <f t="shared" ref="G29:G31" si="7">LN(E29)</f>
        <v>-12.345794588705312</v>
      </c>
      <c r="I29" t="s">
        <v>57</v>
      </c>
      <c r="J29" t="s">
        <v>58</v>
      </c>
      <c r="L29" t="s">
        <v>68</v>
      </c>
      <c r="M29" t="s">
        <v>63</v>
      </c>
      <c r="N29" t="s">
        <v>62</v>
      </c>
      <c r="O29" t="s">
        <v>64</v>
      </c>
    </row>
    <row r="30" spans="1:20" x14ac:dyDescent="0.35">
      <c r="A30">
        <v>2</v>
      </c>
      <c r="B30">
        <v>0.02</v>
      </c>
      <c r="C30">
        <v>2E-3</v>
      </c>
      <c r="D30">
        <v>3.97</v>
      </c>
      <c r="E30">
        <v>6.6030000000000001E-6</v>
      </c>
      <c r="F30">
        <f t="shared" ref="F30:F31" si="8">LN(D30)</f>
        <v>1.3787660946990992</v>
      </c>
      <c r="G30">
        <f t="shared" si="7"/>
        <v>-11.92798646675184</v>
      </c>
      <c r="H30" t="s">
        <v>11</v>
      </c>
      <c r="I30" cm="1">
        <f t="array" ref="I30:J30">LINEST(G29:G31,F29:F31)</f>
        <v>0.98293754546750822</v>
      </c>
      <c r="J30">
        <v>-13.195483175174111</v>
      </c>
      <c r="L30" t="s">
        <v>11</v>
      </c>
      <c r="M30" s="18">
        <f>INDEX(LINEST(G29:G31,F29:F31,TRUE,TRUE),2,1)</f>
        <v>0.2145552598710809</v>
      </c>
      <c r="N30">
        <f>_xlfn.T.INV.2T(0.05,3)*M30</f>
        <v>0.68281059405590749</v>
      </c>
      <c r="O30" t="s">
        <v>65</v>
      </c>
    </row>
    <row r="31" spans="1:20" x14ac:dyDescent="0.35">
      <c r="A31">
        <v>3</v>
      </c>
      <c r="B31">
        <v>0.02</v>
      </c>
      <c r="C31">
        <v>2.0100000000000001E-3</v>
      </c>
      <c r="D31">
        <v>0.98</v>
      </c>
      <c r="E31">
        <v>1.6729999999999999E-6</v>
      </c>
      <c r="F31">
        <f t="shared" si="8"/>
        <v>-2.0202707317519466E-2</v>
      </c>
      <c r="G31">
        <f t="shared" si="7"/>
        <v>-13.300892135959588</v>
      </c>
      <c r="H31" t="s">
        <v>40</v>
      </c>
      <c r="I31" cm="1">
        <f t="array" ref="I31:J31">LINEST(G24:G26,F24:F26)</f>
        <v>5.5321075841073222E-2</v>
      </c>
      <c r="J31">
        <v>-12.036136383890483</v>
      </c>
      <c r="L31" t="s">
        <v>9</v>
      </c>
      <c r="M31" s="18">
        <f>INDEX(LINEST(G19:G21,F19:F21,TRUE,TRUE),2,1)</f>
        <v>0.31375937808702109</v>
      </c>
      <c r="N31">
        <f t="shared" ref="N31:N32" si="9">_xlfn.T.INV.2T(0.05,3)*M31</f>
        <v>0.99852237354115458</v>
      </c>
      <c r="O31" t="s">
        <v>66</v>
      </c>
    </row>
    <row r="32" spans="1:20" x14ac:dyDescent="0.35">
      <c r="H32" t="s">
        <v>9</v>
      </c>
      <c r="I32" cm="1">
        <f t="array" ref="I32:J32">LINEST(G19:G21,F19:F21)</f>
        <v>0.88524105017628862</v>
      </c>
      <c r="J32">
        <v>-9.1142124661037087</v>
      </c>
      <c r="L32" t="s">
        <v>40</v>
      </c>
      <c r="M32" s="17">
        <f>INDEX(LINEST(G24:G26,F24:F26,TRUE,TRUE),2,1)</f>
        <v>4.5028976669108316E-2</v>
      </c>
      <c r="N32">
        <f t="shared" si="9"/>
        <v>0.14330230043131009</v>
      </c>
      <c r="O32" t="s">
        <v>67</v>
      </c>
    </row>
    <row r="33" spans="1:11" x14ac:dyDescent="0.35">
      <c r="A33" t="s">
        <v>16</v>
      </c>
      <c r="B33" t="s">
        <v>27</v>
      </c>
      <c r="C33" t="s">
        <v>28</v>
      </c>
      <c r="D33" t="s">
        <v>29</v>
      </c>
      <c r="E33" t="s">
        <v>35</v>
      </c>
      <c r="F33" t="s">
        <v>36</v>
      </c>
      <c r="G33" t="s">
        <v>37</v>
      </c>
      <c r="H33" t="s">
        <v>38</v>
      </c>
      <c r="I33" t="s">
        <v>39</v>
      </c>
    </row>
    <row r="34" spans="1:11" ht="15" thickBot="1" x14ac:dyDescent="0.4">
      <c r="A34">
        <v>1</v>
      </c>
      <c r="B34">
        <v>2.0199999999999999E-2</v>
      </c>
      <c r="C34">
        <v>2.0100000000000001E-3</v>
      </c>
      <c r="D34">
        <v>1.99</v>
      </c>
      <c r="E34">
        <v>303</v>
      </c>
      <c r="F34">
        <v>4.3479999999999997E-6</v>
      </c>
      <c r="G34">
        <f>F34/(B34^$J$25*C34^$J$26*D34^$J$27)</f>
        <v>1.0816458530275138E-4</v>
      </c>
      <c r="H34">
        <f>1/E34</f>
        <v>3.3003300330033004E-3</v>
      </c>
      <c r="I34">
        <f>LN(G34)</f>
        <v>-9.1318565528667346</v>
      </c>
    </row>
    <row r="35" spans="1:11" ht="15" thickBot="1" x14ac:dyDescent="0.4">
      <c r="A35">
        <v>2</v>
      </c>
      <c r="B35">
        <v>2.01E-2</v>
      </c>
      <c r="C35">
        <v>2.0100000000000001E-3</v>
      </c>
      <c r="D35">
        <v>1.99</v>
      </c>
      <c r="E35">
        <v>308</v>
      </c>
      <c r="F35" s="15">
        <v>6.2400000000000004E-6</v>
      </c>
      <c r="G35">
        <f>F35/(B35^$J$25*C35^$J$26*D35^$J$27)</f>
        <v>1.5600390009750244E-4</v>
      </c>
      <c r="H35">
        <f t="shared" ref="H35:H36" si="10">1/E35</f>
        <v>3.246753246753247E-3</v>
      </c>
      <c r="I35">
        <f t="shared" ref="I35:I36" si="11">LN(G35)</f>
        <v>-8.765629550402231</v>
      </c>
    </row>
    <row r="36" spans="1:11" ht="15" thickBot="1" x14ac:dyDescent="0.4">
      <c r="A36">
        <v>3</v>
      </c>
      <c r="B36">
        <v>0.02</v>
      </c>
      <c r="C36">
        <v>2.0100000000000001E-3</v>
      </c>
      <c r="D36">
        <v>1.99</v>
      </c>
      <c r="E36">
        <v>313</v>
      </c>
      <c r="F36" s="15">
        <v>9.7000000000000003E-6</v>
      </c>
      <c r="G36">
        <f>F36/(B36^$J$25*C36^$J$26*D36^$J$27)</f>
        <v>2.4371859296482411E-4</v>
      </c>
      <c r="H36">
        <f t="shared" si="10"/>
        <v>3.1948881789137379E-3</v>
      </c>
      <c r="I36">
        <f t="shared" si="11"/>
        <v>-8.3194963057631917</v>
      </c>
    </row>
    <row r="38" spans="1:11" x14ac:dyDescent="0.35">
      <c r="H38" cm="1">
        <f t="array" ref="H38:I38">LINEST(I34:I36,H34:H36)</f>
        <v>-7699.566205903292</v>
      </c>
      <c r="I38">
        <v>16.263990604339988</v>
      </c>
    </row>
    <row r="42" spans="1:11" x14ac:dyDescent="0.35">
      <c r="H42" t="s">
        <v>59</v>
      </c>
      <c r="I42" s="16">
        <f>EXP(I38)</f>
        <v>11570746.348889805</v>
      </c>
      <c r="J42" t="s">
        <v>72</v>
      </c>
      <c r="K42">
        <f>EXP(I47)</f>
        <v>5.2345801436121118</v>
      </c>
    </row>
    <row r="43" spans="1:11" x14ac:dyDescent="0.35">
      <c r="H43" t="s">
        <v>60</v>
      </c>
      <c r="I43">
        <f>H38*-0.008314</f>
        <v>64.014193435879974</v>
      </c>
      <c r="J43" t="s">
        <v>61</v>
      </c>
    </row>
    <row r="46" spans="1:11" x14ac:dyDescent="0.35">
      <c r="G46" t="s">
        <v>58</v>
      </c>
      <c r="H46" cm="1">
        <f t="array" ref="H46:I50">LINEST(I34:I36,H34:H36,TRUE,TRUE)</f>
        <v>-7699.566205903292</v>
      </c>
      <c r="I46">
        <v>16.263990604339988</v>
      </c>
      <c r="J46" t="s">
        <v>57</v>
      </c>
    </row>
    <row r="47" spans="1:11" x14ac:dyDescent="0.35">
      <c r="G47" t="s">
        <v>69</v>
      </c>
      <c r="H47">
        <v>509.69392132682833</v>
      </c>
      <c r="I47">
        <v>1.6552866393128716</v>
      </c>
      <c r="J47" t="s">
        <v>71</v>
      </c>
    </row>
    <row r="48" spans="1:11" x14ac:dyDescent="0.35">
      <c r="G48" t="s">
        <v>70</v>
      </c>
      <c r="H48">
        <v>0.99563697791936634</v>
      </c>
      <c r="I48" s="19">
        <v>3.8003759822828664E-2</v>
      </c>
    </row>
    <row r="49" spans="8:9" x14ac:dyDescent="0.35">
      <c r="H49" s="19">
        <v>228.1989317309974</v>
      </c>
      <c r="I49" s="19">
        <v>1</v>
      </c>
    </row>
    <row r="50" spans="8:9" x14ac:dyDescent="0.35">
      <c r="H50" s="19">
        <v>0.32958446769946936</v>
      </c>
      <c r="I50" s="19">
        <v>1.4442857606712463E-3</v>
      </c>
    </row>
    <row r="52" spans="8:9" x14ac:dyDescent="0.35">
      <c r="H52">
        <f>H47*0.008314</f>
        <v>4.2375952619112507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Downey</dc:creator>
  <cp:lastModifiedBy>Tommy Downey</cp:lastModifiedBy>
  <dcterms:created xsi:type="dcterms:W3CDTF">2026-04-09T18:37:21Z</dcterms:created>
  <dcterms:modified xsi:type="dcterms:W3CDTF">2026-04-23T18:27:11Z</dcterms:modified>
</cp:coreProperties>
</file>